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e07027d8b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920a99b867b4d6b"/>
    <x:sheet xmlns:r="http://schemas.openxmlformats.org/officeDocument/2006/relationships" name="Matriz_Requisitos" sheetId="2" r:id="Red85798632d04525"/>
    <x:sheet xmlns:r="http://schemas.openxmlformats.org/officeDocument/2006/relationships" name="Entregables_PDF" sheetId="3" r:id="R17d54c278e194cea"/>
    <x:sheet xmlns:r="http://schemas.openxmlformats.org/officeDocument/2006/relationships" name="Plan_Cambios" sheetId="4" r:id="R1ffd7d3d92ae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F7F9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5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f9571d4a042ed" /><Relationship Type="http://schemas.openxmlformats.org/officeDocument/2006/relationships/theme" Target="/xl/theme/theme1.xml" Id="R69197e6e3d084383" /><Relationship Type="http://schemas.openxmlformats.org/officeDocument/2006/relationships/sharedStrings" Target="/xl/sharedStrings.xml" Id="R6ffbe0fe14534dbb" /><Relationship Type="http://schemas.openxmlformats.org/officeDocument/2006/relationships/worksheet" Target="/xl/worksheets/sheet1.xml" Id="R8920a99b867b4d6b" /><Relationship Type="http://schemas.openxmlformats.org/officeDocument/2006/relationships/worksheet" Target="/xl/worksheets/sheet2.xml" Id="Red85798632d04525" /><Relationship Type="http://schemas.openxmlformats.org/officeDocument/2006/relationships/worksheet" Target="/xl/worksheets/sheet3.xml" Id="R17d54c278e194cea" /><Relationship Type="http://schemas.openxmlformats.org/officeDocument/2006/relationships/worksheet" Target="/xl/worksheets/sheet4.xml" Id="R1ffd7d3d92ae45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12946e02de47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general de requisitos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'Resumen'!$A$5:$A$8</c:f>
              <c:strCache>
                <c:ptCount val="0"/>
              </c:strCache>
            </c:strRef>
          </c:cat>
          <c:val>
            <c:numRef>
              <c:f>'Resumen'!$B$5:$B$8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12946e02de47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Cumplimiento" displayName="MatrizCumplimiento" ref="A1:H54" headerRowCount="1" totalsRowCount="0" totalsRowShown="0">
  <x:tableColumns count="8">
    <x:tableColumn id="1" name="ID"/>
    <x:tableColumn id="2" name="Tipo"/>
    <x:tableColumn id="3" name="Requisito"/>
    <x:tableColumn id="4" name="Estado"/>
    <x:tableColumn id="5" name="Evidencia actual"/>
    <x:tableColumn id="6" name="Brecha / observación"/>
    <x:tableColumn id="7" name="Acción recomendada"/>
    <x:tableColumn id="8" name="Prior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regablesPDF" displayName="EntregablesPDF" ref="A1:E19" headerRowCount="1" totalsRowCount="0" totalsRowShown="0">
  <x:tableColumns count="5">
    <x:tableColumn id="1" name="ID"/>
    <x:tableColumn id="2" name="Entregable"/>
    <x:tableColumn id="3" name="Estado actual"/>
    <x:tableColumn id="4" name="Evidencia / archivo actual"/>
    <x:tableColumn id="5" name="Siguiente ac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Cambios" displayName="PlanCambios" ref="A1:G14" headerRowCount="1" totalsRowCount="0" totalsRowShown="0">
  <x:tableColumns count="7">
    <x:tableColumn id="1" name="ID"/>
    <x:tableColumn id="2" name="Prioridad"/>
    <x:tableColumn id="3" name="Cambio"/>
    <x:tableColumn id="4" name="Requisitos / entregables"/>
    <x:tableColumn id="5" name="Archivos objetivo"/>
    <x:tableColumn id="6" name="Qué hacer"/>
    <x:tableColumn id="7" name="Cómo verific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6fe8c2f7644d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7ff16cb31342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5ea397db254b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2ebf3af0c64b6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</x:cols>
  <x:sheetData>
    <x:row r="1">
      <x:c r="A1" s="20" t="str">
        <x:v>MATRIZ DE CUMPLIMIENTO — EJERCICIO 02 LIBRERÍA MONOLÍTICA</x:v>
      </x:c>
      <x:c r="B1" s="20"/>
      <x:c r="C1" s="20"/>
      <x:c r="D1" s="20"/>
      <x:c r="E1" s="20"/>
      <x:c r="F1" s="20"/>
      <x:c r="G1" s="20"/>
      <x:c r="H1" s="20"/>
    </x:row>
    <x:row r="2">
      <x:c r="A2" s="26" t="str">
        <x:v>Revisión estática del ZIP del proyecto + artefactos creados durante esta sesión. apps/services/ fue excluido del análisis.</x:v>
      </x:c>
      <x:c r="B2" s="26"/>
      <x:c r="C2" s="26"/>
      <x:c r="D2" s="26"/>
      <x:c r="E2" s="26"/>
      <x:c r="F2" s="26"/>
      <x:c r="G2" s="26"/>
      <x:c r="H2" s="26"/>
    </x:row>
    <x:row r="4">
      <x:c r="A4" s="30" t="str">
        <x:v>Estado</x:v>
      </x:c>
      <x:c r="B4" s="30" t="str">
        <x:v>Cantidad</x:v>
      </x:c>
      <x:c r="D4" s="30" t="str">
        <x:v>Hallazgos que conviene corregir primero</x:v>
      </x:c>
      <x:c r="E4" s="30"/>
      <x:c r="F4" s="30"/>
      <x:c r="G4" s="30"/>
      <x:c r="H4" s="30"/>
    </x:row>
    <x:row r="5">
      <x:c r="A5" s="34" t="str">
        <x:v>Cumple</x:v>
      </x:c>
      <x:c r="B5" t="n">
        <x:f>COUNTIF(Matriz_Requisitos!$D$2:$D$54,"Cumple")</x:f>
        <x:v>36</x:v>
      </x:c>
      <x:c r="D5" s="44" t="str">
        <x:v>1. El catálogo y el detalle de libro siguen siendo públicos.
2. La búsqueda sólo funciona por título, no por ISBN.
3. Uploads: se acepta GIF, no se valida MIME y faltan ediciones de metadatos.
4. db.js y app.js contienen fallbacks de credenciales/secreto; .env.example usa postgres.
5. Todavía no existe el paquete de scripts db/00..06 ni el seed de 30 registros por tabla.
6. Reverse proxy, 127.0.0.1 y /library se mantienen pendientes para la fase final.</x:v>
      </x:c>
      <x:c r="E5" s="44"/>
      <x:c r="F5" s="44"/>
      <x:c r="G5" s="44"/>
      <x:c r="H5" s="44"/>
    </x:row>
    <x:row r="6">
      <x:c r="A6" s="36" t="str">
        <x:v>Cumple parcialmente</x:v>
      </x:c>
      <x:c r="B6" t="n">
        <x:f>COUNTIF(Matriz_Requisitos!$D$2:$D$54,"Cumple parcialmente")</x:f>
        <x:v>11</x:v>
      </x:c>
      <x:c r="D6" s="44"/>
      <x:c r="E6" s="44"/>
      <x:c r="F6" s="44"/>
      <x:c r="G6" s="44"/>
      <x:c r="H6" s="44"/>
    </x:row>
    <x:row r="7">
      <x:c r="A7" s="38" t="str">
        <x:v>No cumple</x:v>
      </x:c>
      <x:c r="B7" t="n">
        <x:f>COUNTIF(Matriz_Requisitos!$D$2:$D$54,"No cumple")</x:f>
        <x:v>3</x:v>
      </x:c>
      <x:c r="D7" s="44"/>
      <x:c r="E7" s="44"/>
      <x:c r="F7" s="44"/>
      <x:c r="G7" s="44"/>
      <x:c r="H7" s="44"/>
    </x:row>
    <x:row r="8">
      <x:c r="A8" s="40" t="str">
        <x:v>Pendiente</x:v>
      </x:c>
      <x:c r="B8" t="n">
        <x:f>COUNTIF(Matriz_Requisitos!$D$2:$D$54,"Pendiente")</x:f>
        <x:v>3</x:v>
      </x:c>
      <x:c r="D8" s="44"/>
      <x:c r="E8" s="44"/>
      <x:c r="F8" s="44"/>
      <x:c r="G8" s="44"/>
      <x:c r="H8" s="44"/>
    </x:row>
    <x:row r="9">
      <x:c r="D9" s="44"/>
      <x:c r="E9" s="44"/>
      <x:c r="F9" s="44"/>
      <x:c r="G9" s="44"/>
      <x:c r="H9" s="44"/>
    </x:row>
    <x:row r="10">
      <x:c r="D10" s="44"/>
      <x:c r="E10" s="44"/>
      <x:c r="F10" s="44"/>
      <x:c r="G10" s="44"/>
      <x:c r="H10" s="44"/>
    </x:row>
    <x:row r="11">
      <x:c r="A11" s="30" t="str">
        <x:v>Criterio de interpretación</x:v>
      </x:c>
      <x:c r="B11" s="30"/>
      <x:c r="C11" s="30"/>
      <x:c r="D11" s="30"/>
      <x:c r="E11" s="30"/>
      <x:c r="F11" s="30"/>
      <x:c r="G11" s="30"/>
      <x:c r="H11" s="30"/>
    </x:row>
    <x:row r="12">
      <x:c r="A12" s="44" t="str">
        <x:v>Cumple = la implementación está presente y es consistente con el requisito por revisión estática.
Cumple parcialmente = existe implementación, pero falta una condición importante.
No cumple = existe una contradicción clara entre el código/configuración actual y el requisito.
Pendiente = requiere ejecución, despliegue o una fase que acordamos realizar después.</x:v>
      </x:c>
      <x:c r="B12" s="44"/>
      <x:c r="C12" s="44"/>
      <x:c r="D12" s="44"/>
      <x:c r="E12" s="44"/>
      <x:c r="F12" s="44"/>
      <x:c r="G12" s="44"/>
      <x:c r="H12" s="44"/>
    </x:row>
    <x:row r="13">
      <x:c r="A13" s="44"/>
      <x:c r="B13" s="44"/>
      <x:c r="C13" s="44"/>
      <x:c r="D13" s="44"/>
      <x:c r="E13" s="44"/>
      <x:c r="F13" s="44"/>
      <x:c r="G13" s="44"/>
      <x:c r="H13" s="44"/>
    </x:row>
    <x:row r="14">
      <x:c r="A14" s="44"/>
      <x:c r="B14" s="44"/>
      <x:c r="C14" s="44"/>
      <x:c r="D14" s="44"/>
      <x:c r="E14" s="44"/>
      <x:c r="F14" s="44"/>
      <x:c r="G14" s="44"/>
      <x:c r="H14" s="44"/>
    </x:row>
    <x:row r="15">
      <x:c r="A15" s="44"/>
      <x:c r="B15" s="44"/>
      <x:c r="C15" s="44"/>
      <x:c r="D15" s="44"/>
      <x:c r="E15" s="44"/>
      <x:c r="F15" s="44"/>
      <x:c r="G15" s="44"/>
      <x:c r="H15" s="44"/>
    </x:row>
  </x:sheetData>
  <x:mergeCells>
    <x:mergeCell ref="A1:H1"/>
    <x:mergeCell ref="A2:H2"/>
    <x:mergeCell ref="D4:H4"/>
    <x:mergeCell ref="D5:H10"/>
    <x:mergeCell ref="A11:H11"/>
    <x:mergeCell ref="A12:H15"/>
  </x:mergeCells>
  <x:pageMargins left="0.7" right="0.7" top="0.75" bottom="0.75" header="0.3" footer="0.3"/>
  <x:drawing xmlns:r="http://schemas.openxmlformats.org/officeDocument/2006/relationships" r:id="Ree6fe8c2f7644dc8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31" hidden="0" customWidth="1"/>
    <x:col min="4" max="4" width="22" hidden="0" customWidth="1"/>
    <x:col min="5" max="5" width="52" hidden="0" customWidth="1"/>
    <x:col min="6" max="6" width="48" hidden="0" customWidth="1"/>
    <x:col min="7" max="7" width="48" hidden="0" customWidth="1"/>
    <x:col min="8" max="8" width="12" hidden="0" customWidth="1"/>
  </x:cols>
  <x:sheetData>
    <x:row r="1" ht="30" customHeight="1">
      <x:c r="A1" s="14" t="str">
        <x:v>ID</x:v>
      </x:c>
      <x:c r="B1" s="14" t="str">
        <x:v>Tipo</x:v>
      </x:c>
      <x:c r="C1" s="14" t="str">
        <x:v>Requisito</x:v>
      </x:c>
      <x:c r="D1" s="14" t="str">
        <x:v>Estado</x:v>
      </x:c>
      <x:c r="E1" s="14" t="str">
        <x:v>Evidencia actual</x:v>
      </x:c>
      <x:c r="F1" s="14" t="str">
        <x:v>Brecha / observación</x:v>
      </x:c>
      <x:c r="G1" s="14" t="str">
        <x:v>Acción recomendada</x:v>
      </x:c>
      <x:c r="H1" s="14" t="str">
        <x:v>Prioridad</x:v>
      </x:c>
    </x:row>
    <x:row r="2" ht="72" customHeight="1">
      <x:c r="A2" s="15" t="str">
        <x:v>RF-01</x:v>
      </x:c>
      <x:c r="B2" s="15" t="str">
        <x:v>RF</x:v>
      </x:c>
      <x:c r="C2" s="15" t="str">
        <x:v>Registro de usuarios</x:v>
      </x:c>
      <x:c r="D2" s="15" t="str">
        <x:v>Cumple</x:v>
      </x:c>
      <x:c r="E2" s="15" t="str">
        <x:v>Alta pública de usuario regular, validación básica, hash bcrypt y correo único.
src/modules/auth/auth.controller.js:36-76; src/modules/usuarios/usuario.model.js:21-27; sql/schema.sql:13-21</x:v>
      </x:c>
      <x:c r="F2" s="15" t="str">
        <x:v>Falta sólo evidencia de ejecución para cerrar la prueba formal.</x:v>
      </x:c>
      <x:c r="G2" s="15" t="str">
        <x:v>Ejecutar prueba positiva y duplicado de correo.</x:v>
      </x:c>
      <x:c r="H2" s="15" t="str">
        <x:v>Media</x:v>
      </x:c>
    </x:row>
    <x:row r="3" ht="72" customHeight="1">
      <x:c r="A3" s="15" t="str">
        <x:v>RF-02</x:v>
      </x:c>
      <x:c r="B3" s="15" t="str">
        <x:v>RF</x:v>
      </x:c>
      <x:c r="C3" s="15" t="str">
        <x:v>Inicio de sesión</x:v>
      </x:c>
      <x:c r="D3" s="15" t="str">
        <x:v>Cumple</x:v>
      </x:c>
      <x:c r="E3" s="15" t="str">
        <x:v>Valida usuario activo, compara hash con bcrypt, usa mensaje genérico y crea sesión con rol.
src/modules/auth/auth.controller.js:8-29</x:v>
      </x:c>
      <x:c r="F3" s="15" t="str">
        <x:v>Sin brecha funcional detectada por revisión estática.</x:v>
      </x:c>
      <x:c r="G3" s="15" t="str">
        <x:v>Probar credenciales válidas, inválidas e usuario inactivo.</x:v>
      </x:c>
      <x:c r="H3" s="15" t="str">
        <x:v>Media</x:v>
      </x:c>
    </x:row>
    <x:row r="4" ht="72" customHeight="1">
      <x:c r="A4" s="15" t="str">
        <x:v>RF-03</x:v>
      </x:c>
      <x:c r="B4" s="15" t="str">
        <x:v>RF</x:v>
      </x:c>
      <x:c r="C4" s="15" t="str">
        <x:v>Cierre de sesión</x:v>
      </x:c>
      <x:c r="D4" s="15" t="str">
        <x:v>Cumple</x:v>
      </x:c>
      <x:c r="E4" s="15" t="str">
        <x:v>La ruta POST /logout destruye la sesión y redirige a login.
src/modules/auth/auth.controller.js:80-81; src/modules/auth/auth.routes.js:5-9</x:v>
      </x:c>
      <x:c r="F4" s="15" t="str">
        <x:v>Sin brecha funcional detectada.</x:v>
      </x:c>
      <x:c r="G4" s="15" t="str">
        <x:v>Probar que una ruta privada deje de ser accesible después del logout.</x:v>
      </x:c>
      <x:c r="H4" s="15" t="str">
        <x:v>Media</x:v>
      </x:c>
    </x:row>
    <x:row r="5" ht="72" customHeight="1">
      <x:c r="A5" s="15" t="str">
        <x:v>RF-04</x:v>
      </x:c>
      <x:c r="B5" s="15" t="str">
        <x:v>RF</x:v>
      </x:c>
      <x:c r="C5" s="15" t="str">
        <x:v>Control de acceso por autenticación</x:v>
      </x:c>
      <x:c r="D5" s="15" t="str">
        <x:v>No cumple</x:v>
      </x:c>
      <x:c r="E5" s="15" t="str">
        <x:v>Existe requireLogin/requireAdmin, pero las rutas GET del catálogo y detalle no usan requireLogin.
src/middleware/auth.js:1-23; src/modules/libros/libro.routes.js:1-25</x:v>
      </x:c>
      <x:c r="F5" s="15" t="str">
        <x:v>/libros y /libros/:isbn son públicos, contrario al requisito objetivo.</x:v>
      </x:c>
      <x:c r="G5" s="15" t="str">
        <x:v>Agregar requireLogin a catálogo y detalle; mantener login/registro públicos.</x:v>
      </x:c>
      <x:c r="H5" s="15" t="str">
        <x:v>Alta</x:v>
      </x:c>
    </x:row>
    <x:row r="6" ht="72" customHeight="1">
      <x:c r="A6" s="15" t="str">
        <x:v>RF-05</x:v>
      </x:c>
      <x:c r="B6" s="15" t="str">
        <x:v>RF</x:v>
      </x:c>
      <x:c r="C6" s="15" t="str">
        <x:v>Consulta del catálogo por usuarios autenticados</x:v>
      </x:c>
      <x:c r="D6" s="15" t="str">
        <x:v>Cumple parcialmente</x:v>
      </x:c>
      <x:c r="E6" s="15" t="str">
        <x:v>El catálogo existe y funciona, pero actualmente puede consultarse sin autenticación.
src/modules/libros/libro.routes.js:6-25; src/views/libros/lista.ejs:1-27</x:v>
      </x:c>
      <x:c r="F6" s="15" t="str">
        <x:v>Falta restringir lectura a usuarios registrados.</x:v>
      </x:c>
      <x:c r="G6" s="15" t="str">
        <x:v>Proteger GET /libros con requireLogin.</x:v>
      </x:c>
      <x:c r="H6" s="15" t="str">
        <x:v>Alta</x:v>
      </x:c>
    </x:row>
    <x:row r="7" ht="72" customHeight="1">
      <x:c r="A7" s="15" t="str">
        <x:v>RF-06</x:v>
      </x:c>
      <x:c r="B7" s="15" t="str">
        <x:v>RF</x:v>
      </x:c>
      <x:c r="C7" s="15" t="str">
        <x:v>Búsqueda por ISBN y título</x:v>
      </x:c>
      <x:c r="D7" s="15" t="str">
        <x:v>Cumple parcialmente</x:v>
      </x:c>
      <x:c r="E7" s="15" t="str">
        <x:v>La búsqueda está parametrizada, pero sólo filtra por título con ILIKE.
src/modules/libros/libro.model.js:3-18; src/views/libros/lista.ejs:9-12</x:v>
      </x:c>
      <x:c r="F7" s="15" t="str">
        <x:v>No existe búsqueda por ISBN.</x:v>
      </x:c>
      <x:c r="G7" s="15" t="str">
        <x:v>Modificar WHERE para ISBN exacto/parcial y título; actualizar placeholder de UI.</x:v>
      </x:c>
      <x:c r="H7" s="15" t="str">
        <x:v>Alta</x:v>
      </x:c>
    </x:row>
    <x:row r="8" ht="72" customHeight="1">
      <x:c r="A8" s="15" t="str">
        <x:v>RF-07</x:v>
      </x:c>
      <x:c r="B8" s="15" t="str">
        <x:v>RF</x:v>
      </x:c>
      <x:c r="C8" s="15" t="str">
        <x:v>Consulta de detalle de libro</x:v>
      </x:c>
      <x:c r="D8" s="15" t="str">
        <x:v>Cumple parcialmente</x:v>
      </x:c>
      <x:c r="E8" s="15" t="str">
        <x:v>La vista muestra ISBN, año, formato, categoría, precio, stock, autores, géneros, conceptos e imágenes.
src/views/libros/detalle.ejs:1-54; src/modules/libros/libro.routes.js:23</x:v>
      </x:c>
      <x:c r="F8" s="15" t="str">
        <x:v>La información está completa, pero el detalle es público.</x:v>
      </x:c>
      <x:c r="G8" s="15" t="str">
        <x:v>Proteger GET /libros/:isbn con requireLogin.</x:v>
      </x:c>
      <x:c r="H8" s="15" t="str">
        <x:v>Alta</x:v>
      </x:c>
    </x:row>
    <x:row r="9" ht="72" customHeight="1">
      <x:c r="A9" s="15" t="str">
        <x:v>RF-08</x:v>
      </x:c>
      <x:c r="B9" s="15" t="str">
        <x:v>RF</x:v>
      </x:c>
      <x:c r="C9" s="15" t="str">
        <x:v>CRUD de libros</x:v>
      </x:c>
      <x:c r="D9" s="15" t="str">
        <x:v>Cumple</x:v>
      </x:c>
      <x:c r="E9" s="15" t="str">
        <x:v>Crear, listar, editar y eliminar están implementados con rutas admin, formularios y SQL parametrizado.
src/modules/libros/libro.routes.js:7-12; src/modules/libros/libro.controller.js:92-160; src/modules/libros/libro.model.js:33-55</x:v>
      </x:c>
      <x:c r="F9" s="15" t="str">
        <x:v>Al eliminar un libro, los registros de imágenes se eliminan por CASCADE, pero los archivos físicos pueden quedar huérfanos.</x:v>
      </x:c>
      <x:c r="G9" s="15" t="str">
        <x:v>Agregar limpieza de archivos físicos al eliminar un libro y probar restricciones.</x:v>
      </x:c>
      <x:c r="H9" s="15" t="str">
        <x:v>Media</x:v>
      </x:c>
    </x:row>
    <x:row r="10" ht="72" customHeight="1">
      <x:c r="A10" s="15" t="str">
        <x:v>RF-09</x:v>
      </x:c>
      <x:c r="B10" s="15" t="str">
        <x:v>RF</x:v>
      </x:c>
      <x:c r="C10" s="15" t="str">
        <x:v>CRUD de autores</x:v>
      </x:c>
      <x:c r="D10" s="15" t="str">
        <x:v>Cumple</x:v>
      </x:c>
      <x:c r="E10" s="15" t="str">
        <x:v>CRUD generado por la fábrica de catálogos y protegido con requireAdmin.
src/lib/catalogoFactory.js:48-124; src/modules/autores/autores.routes.js</x:v>
      </x:c>
      <x:c r="F10" s="15" t="str">
        <x:v>Sin brecha principal detectada.</x:v>
      </x:c>
      <x:c r="G10" s="15" t="str">
        <x:v>Probar alta, edición, eliminación y FK protegida.</x:v>
      </x:c>
      <x:c r="H10" s="15" t="str">
        <x:v>Media</x:v>
      </x:c>
    </x:row>
    <x:row r="11" ht="72" customHeight="1">
      <x:c r="A11" s="15" t="str">
        <x:v>RF-10</x:v>
      </x:c>
      <x:c r="B11" s="15" t="str">
        <x:v>RF</x:v>
      </x:c>
      <x:c r="C11" s="15" t="str">
        <x:v>CRUD de géneros</x:v>
      </x:c>
      <x:c r="D11" s="15" t="str">
        <x:v>Cumple</x:v>
      </x:c>
      <x:c r="E11" s="15" t="str">
        <x:v>CRUD generado por la fábrica de catálogos, con unicidad e integridad en PostgreSQL.
src/lib/catalogoFactory.js:48-124; sql/schema.sql:43-46</x:v>
      </x:c>
      <x:c r="F11" s="15" t="str">
        <x:v>Los errores de unicidad se manejan genéricamente como error 500, aunque sin filtrar detalles al usuario.</x:v>
      </x:c>
      <x:c r="G11" s="15" t="str">
        <x:v>Opcional: convertir 23505 en mensaje de validación amigable.</x:v>
      </x:c>
      <x:c r="H11" s="15" t="str">
        <x:v>Baja</x:v>
      </x:c>
    </x:row>
    <x:row r="12" ht="72" customHeight="1">
      <x:c r="A12" s="15" t="str">
        <x:v>RF-11</x:v>
      </x:c>
      <x:c r="B12" s="15" t="str">
        <x:v>RF</x:v>
      </x:c>
      <x:c r="C12" s="15" t="str">
        <x:v>CRUD de formatos</x:v>
      </x:c>
      <x:c r="D12" s="15" t="str">
        <x:v>Cumple</x:v>
      </x:c>
      <x:c r="E12" s="15" t="str">
        <x:v>CRUD admin y catálogo independiente con nombre UNIQUE.
src/lib/catalogoFactory.js:48-124; sql/schema.sql:33-36</x:v>
      </x:c>
      <x:c r="F12" s="15" t="str">
        <x:v>Manejo de duplicado podría ser más amigable.</x:v>
      </x:c>
      <x:c r="G12" s="15" t="str">
        <x:v>Probar duplicado y FK RESTRICT.</x:v>
      </x:c>
      <x:c r="H12" s="15" t="str">
        <x:v>Baja</x:v>
      </x:c>
    </x:row>
    <x:row r="13" ht="72" customHeight="1">
      <x:c r="A13" s="15" t="str">
        <x:v>RF-12</x:v>
      </x:c>
      <x:c r="B13" s="15" t="str">
        <x:v>RF</x:v>
      </x:c>
      <x:c r="C13" s="15" t="str">
        <x:v>CRUD de categorías</x:v>
      </x:c>
      <x:c r="D13" s="15" t="str">
        <x:v>Cumple</x:v>
      </x:c>
      <x:c r="E13" s="15" t="str">
        <x:v>CRUD admin y catálogo independiente con nombre UNIQUE.
src/lib/catalogoFactory.js:48-124; sql/schema.sql:38-41</x:v>
      </x:c>
      <x:c r="F13" s="15" t="str">
        <x:v>Manejo de duplicado podría ser más amigable.</x:v>
      </x:c>
      <x:c r="G13" s="15" t="str">
        <x:v>Probar duplicado y FK RESTRICT.</x:v>
      </x:c>
      <x:c r="H13" s="15" t="str">
        <x:v>Baja</x:v>
      </x:c>
    </x:row>
    <x:row r="14" ht="72" customHeight="1">
      <x:c r="A14" s="15" t="str">
        <x:v>RF-13</x:v>
      </x:c>
      <x:c r="B14" s="15" t="str">
        <x:v>RF</x:v>
      </x:c>
      <x:c r="C14" s="15" t="str">
        <x:v>CRUD de conceptos</x:v>
      </x:c>
      <x:c r="D14" s="15" t="str">
        <x:v>Cumple</x:v>
      </x:c>
      <x:c r="E14" s="15" t="str">
        <x:v>CRUD de conceptos independiente; la definición se mantiene en libro_concepto.
src/lib/catalogoFactory.js:48-124; sql/schema.sql:55-58,136-141</x:v>
      </x:c>
      <x:c r="F14" s="15" t="str">
        <x:v>Sin brecha estructural detectada.</x:v>
      </x:c>
      <x:c r="G14" s="15" t="str">
        <x:v>Probar reutilización del mismo concepto en dos libros con definiciones distintas.</x:v>
      </x:c>
      <x:c r="H14" s="15" t="str">
        <x:v>Media</x:v>
      </x:c>
    </x:row>
    <x:row r="15" ht="72" customHeight="1">
      <x:c r="A15" s="15" t="str">
        <x:v>RF-14</x:v>
      </x:c>
      <x:c r="B15" s="15" t="str">
        <x:v>RF</x:v>
      </x:c>
      <x:c r="C15" s="15" t="str">
        <x:v>Asociación de múltiples autores</x:v>
      </x:c>
      <x:c r="D15" s="15" t="str">
        <x:v>Cumple</x:v>
      </x:c>
      <x:c r="E15" s="15" t="str">
        <x:v>Tabla puente, consulta, alta/upsert y eliminación de asociaciones implementadas.
src/modules/libros/asociaciones.model.js:3-24; sql/schema.sql:95-103</x:v>
      </x:c>
      <x:c r="F15" s="15" t="str">
        <x:v>Sin brecha principal detectada.</x:v>
      </x:c>
      <x:c r="G15" s="15" t="str">
        <x:v>Probar varios autores y orden de participación.</x:v>
      </x:c>
      <x:c r="H15" s="15" t="str">
        <x:v>Media</x:v>
      </x:c>
    </x:row>
    <x:row r="16" ht="72" customHeight="1">
      <x:c r="A16" s="15" t="str">
        <x:v>RF-15</x:v>
      </x:c>
      <x:c r="B16" s="15" t="str">
        <x:v>RF</x:v>
      </x:c>
      <x:c r="C16" s="15" t="str">
        <x:v>Asociación de múltiples géneros</x:v>
      </x:c>
      <x:c r="D16" s="15" t="str">
        <x:v>Cumple</x:v>
      </x:c>
      <x:c r="E16" s="15" t="str">
        <x:v>Tabla puente, consulta, alta y eliminación implementadas; duplicados ignorados por PK.
src/modules/libros/asociaciones.model.js:26-46; sql/schema.sql:105-112</x:v>
      </x:c>
      <x:c r="F16" s="15" t="str">
        <x:v>Sin brecha principal detectada.</x:v>
      </x:c>
      <x:c r="G16" s="15" t="str">
        <x:v>Probar varios géneros y duplicado de asociación.</x:v>
      </x:c>
      <x:c r="H16" s="15" t="str">
        <x:v>Media</x:v>
      </x:c>
    </x:row>
    <x:row r="17" ht="72" customHeight="1">
      <x:c r="A17" s="15" t="str">
        <x:v>RF-16</x:v>
      </x:c>
      <x:c r="B17" s="15" t="str">
        <x:v>RF</x:v>
      </x:c>
      <x:c r="C17" s="15" t="str">
        <x:v>Conceptos y definiciones específicas por libro</x:v>
      </x:c>
      <x:c r="D17" s="15" t="str">
        <x:v>Cumple</x:v>
      </x:c>
      <x:c r="E17" s="15" t="str">
        <x:v>La definición depende del par ISBN-concepto y la operación de alta usa upsert para actualizarla.
src/modules/libros/asociaciones.model.js:48-69; sql/schema.sql:131-141</x:v>
      </x:c>
      <x:c r="F17" s="15" t="str">
        <x:v>Falta incluir los conceptos de Cloud Computing solicitados en los datos de prueba.</x:v>
      </x:c>
      <x:c r="G17" s="15" t="str">
        <x:v>Agregar libro/semilla con IaaS, PaaS, SaaS, FaaS, Bucket, Public/Private/Hybrid Cloud, Multicloud y Serverless.</x:v>
      </x:c>
      <x:c r="H17" s="15" t="str">
        <x:v>Alta</x:v>
      </x:c>
    </x:row>
    <x:row r="18" ht="72" customHeight="1">
      <x:c r="A18" s="15" t="str">
        <x:v>RF-17</x:v>
      </x:c>
      <x:c r="B18" s="15" t="str">
        <x:v>RF</x:v>
      </x:c>
      <x:c r="C18" s="15" t="str">
        <x:v>Gestión de imágenes</x:v>
      </x:c>
      <x:c r="D18" s="15" t="str">
        <x:v>Cumple parcialmente</x:v>
      </x:c>
      <x:c r="E18" s="15" t="str">
        <x:v>Carga, eliminación, portada, nombre generado y límite de 5 MB existen.
src/middleware/upload.js:6-32; src/modules/libros/libro.controller.js:221-260; src/views/libros/formulario.ejs:115-140</x:v>
      </x:c>
      <x:c r="F18" s="15" t="str">
        <x:v>Se permite GIF aunque el ejercicio pide JPG/PNG/WebP; no se valida MIME; no hay edición posterior de texto alternativo/orden.</x:v>
      </x:c>
      <x:c r="G18" s="15" t="str">
        <x:v>Eliminar GIF, validar MIME y agregar edición de metadatos de imagen.</x:v>
      </x:c>
      <x:c r="H18" s="15" t="str">
        <x:v>Alta</x:v>
      </x:c>
    </x:row>
    <x:row r="19" ht="72" customHeight="1">
      <x:c r="A19" s="15" t="str">
        <x:v>RF-18</x:v>
      </x:c>
      <x:c r="B19" s="15" t="str">
        <x:v>RF</x:v>
      </x:c>
      <x:c r="C19" s="15" t="str">
        <x:v>Control de precio y stock</x:v>
      </x:c>
      <x:c r="D19" s="15" t="str">
        <x:v>Cumple</x:v>
      </x:c>
      <x:c r="E19" s="15" t="str">
        <x:v>Aplicación rechaza negativos y PostgreSQL usa CHECK para precio y stock.
src/modules/libros/libro.controller.js:29-47; sql/schema.sql:66-77</x:v>
      </x:c>
      <x:c r="F19" s="15" t="str">
        <x:v>Sin brecha principal detectada.</x:v>
      </x:c>
      <x:c r="G19" s="15" t="str">
        <x:v>Probar negativos tanto desde UI como directamente en PostgreSQL.</x:v>
      </x:c>
      <x:c r="H19" s="15" t="str">
        <x:v>Media</x:v>
      </x:c>
    </x:row>
    <x:row r="20" ht="72" customHeight="1">
      <x:c r="A20" s="15" t="str">
        <x:v>RF-19</x:v>
      </x:c>
      <x:c r="B20" s="15" t="str">
        <x:v>RF</x:v>
      </x:c>
      <x:c r="C20" s="15" t="str">
        <x:v>Administración de usuarios</x:v>
      </x:c>
      <x:c r="D20" s="15" t="str">
        <x:v>Cumple</x:v>
      </x:c>
      <x:c r="E20" s="15" t="str">
        <x:v>Listado, edición, activación/desactivación, eliminación y transferencia de administración están protegidos para admin.
src/modules/usuarios/usuario.routes.js:1-15; src/modules/usuarios/usuario.controller.js:74-140</x:v>
      </x:c>
      <x:c r="F20" s="15" t="str">
        <x:v>No se detecta alta de usuarios desde panel admin, pero el registro público cubre creación de cuentas.</x:v>
      </x:c>
      <x:c r="G20" s="15" t="str">
        <x:v>Validar si el profesor espera Create explícito desde /usuarios; si sí, agregarlo.</x:v>
      </x:c>
      <x:c r="H20" s="15" t="str">
        <x:v>Baja</x:v>
      </x:c>
    </x:row>
    <x:row r="21" ht="72" customHeight="1">
      <x:c r="A21" s="15" t="str">
        <x:v>RF-20</x:v>
      </x:c>
      <x:c r="B21" s="15" t="str">
        <x:v>RF</x:v>
      </x:c>
      <x:c r="C21" s="15" t="str">
        <x:v>Administrador único</x:v>
      </x:c>
      <x:c r="D21" s="15" t="str">
        <x:v>Cumple</x:v>
      </x:c>
      <x:c r="E21" s="15" t="str">
        <x:v>Índice único parcial en PostgreSQL y transferencia de rol dentro de una transacción.
sql/schema.sql:10-26; src/modules/usuarios/usuario.model.js:50-66</x:v>
      </x:c>
      <x:c r="F21" s="15" t="str">
        <x:v>La transferencia con ID inexistente podría dejar cero administradores si se manipula la ruta.</x:v>
      </x:c>
      <x:c r="G21" s="15" t="str">
        <x:v>Validar existencia del usuario objetivo antes de iniciar transferencia.</x:v>
      </x:c>
      <x:c r="H21" s="15" t="str">
        <x:v>Media</x:v>
      </x:c>
    </x:row>
    <x:row r="22" ht="72" customHeight="1">
      <x:c r="A22" s="15" t="str">
        <x:v>RF-21</x:v>
      </x:c>
      <x:c r="B22" s="15" t="str">
        <x:v>RF</x:v>
      </x:c>
      <x:c r="C22" s="15" t="str">
        <x:v>Validación server-side</x:v>
      </x:c>
      <x:c r="D22" s="15" t="str">
        <x:v>Cumple parcialmente</x:v>
      </x:c>
      <x:c r="E22" s="15" t="str">
        <x:v>Hay validación en registro, libro, usuarios y catálogos.
src/modules/auth/auth.controller.js:36-46; src/modules/libros/libro.controller.js:29-47; src/lib/catalogoFactory.js:37-46</x:v>
      </x:c>
      <x:c r="F22" s="15" t="str">
        <x:v>La cobertura no es completa: MIME de imágenes, formato de email, IDs de asociaciones y algunos rangos dependen de PostgreSQL/HTML.</x:v>
      </x:c>
      <x:c r="G22" s="15" t="str">
        <x:v>Centralizar y completar validaciones del lado del servidor.</x:v>
      </x:c>
      <x:c r="H22" s="15" t="str">
        <x:v>Alta</x:v>
      </x:c>
    </x:row>
    <x:row r="23" ht="72" customHeight="1">
      <x:c r="A23" s="15" t="str">
        <x:v>RF-22</x:v>
      </x:c>
      <x:c r="B23" s="15" t="str">
        <x:v>RF</x:v>
      </x:c>
      <x:c r="C23" s="15" t="str">
        <x:v>Manejo controlado de errores</x:v>
      </x:c>
      <x:c r="D23" s="15" t="str">
        <x:v>Cumple</x:v>
      </x:c>
      <x:c r="E23" s="15" t="str">
        <x:v>Los errores 500 se registran en servidor y al usuario se le muestra un mensaje genérico.
src/middleware/errorHandler.js:1-8</x:v>
      </x:c>
      <x:c r="F23" s="15" t="str">
        <x:v>No hay logging estructurado, pero no es requisito obligatorio.</x:v>
      </x:c>
      <x:c r="G23" s="15" t="str">
        <x:v>Probar 404, 403 y un error interno sin exposición de SQL/stack.</x:v>
      </x:c>
      <x:c r="H23" s="15" t="str">
        <x:v>Media</x:v>
      </x:c>
    </x:row>
    <x:row r="24" ht="72" customHeight="1">
      <x:c r="A24" s="15" t="str">
        <x:v>RNF-01</x:v>
      </x:c>
      <x:c r="B24" s="15" t="str">
        <x:v>RNF</x:v>
      </x:c>
      <x:c r="C24" s="15" t="str">
        <x:v>Seguridad de contraseñas</x:v>
      </x:c>
      <x:c r="D24" s="15" t="str">
        <x:v>Cumple</x:v>
      </x:c>
      <x:c r="E24" s="15" t="str">
        <x:v>bcryptjs se usa para hash y comparación; la BD almacena password_hash.
src/modules/auth/auth.controller.js:15-16,55-60; src/modules/usuarios/usuario.controller.js:48-68; sql/schema.sql:13-21</x:v>
      </x:c>
      <x:c r="F24" s="15" t="str">
        <x:v>Sin brecha principal detectada.</x:v>
      </x:c>
      <x:c r="G24" s="15" t="str">
        <x:v>Verificar hashes reales en la BD sin publicar datos sensibles.</x:v>
      </x:c>
      <x:c r="H24" s="15" t="str">
        <x:v>Media</x:v>
      </x:c>
    </x:row>
    <x:row r="25" ht="72" customHeight="1">
      <x:c r="A25" s="15" t="str">
        <x:v>RNF-02</x:v>
      </x:c>
      <x:c r="B25" s="15" t="str">
        <x:v>RNF</x:v>
      </x:c>
      <x:c r="C25" s="15" t="str">
        <x:v>Protección de secretos y credenciales</x:v>
      </x:c>
      <x:c r="D25" s="15" t="str">
        <x:v>Cumple parcialmente</x:v>
      </x:c>
      <x:c r="E25" s="15" t="str">
        <x:v>.env está ignorado y existe .env.example.
.gitignore:1-4; .env.example:1-14; src/config/db.js:3-9; src/app.js:27-34</x:v>
      </x:c>
      <x:c r="F25" s="15" t="str">
        <x:v>db.js contiene fallback user/password postgres y app.js un SESSION_SECRET por defecto; esto contradice el uso estricto de secretos por entorno.</x:v>
      </x:c>
      <x:c r="G25" s="15" t="str">
        <x:v>Eliminar fallbacks sensibles; fallar al iniciar si faltan variables requeridas; actualizar .env.example sin credenciales reales.</x:v>
      </x:c>
      <x:c r="H25" s="15" t="str">
        <x:v>Alta</x:v>
      </x:c>
    </x:row>
    <x:row r="26" ht="72" customHeight="1">
      <x:c r="A26" s="15" t="str">
        <x:v>RNF-03</x:v>
      </x:c>
      <x:c r="B26" s="15" t="str">
        <x:v>RNF</x:v>
      </x:c>
      <x:c r="C26" s="15" t="str">
        <x:v>Protección frente a SQL Injection</x:v>
      </x:c>
      <x:c r="D26" s="15" t="str">
        <x:v>Cumple</x:v>
      </x:c>
      <x:c r="E26" s="15" t="str">
        <x:v>Los valores procedentes del usuario se envían como parámetros $1, $2, etc.; identificadores dinámicos de catálogo provienen de configuración interna.
src/modules/libros/libro.model.js:12-18,21-55; src/modules/libros/asociaciones.model.js:4-133; src/lib/catalogoFactory.js:5-34</x:v>
      </x:c>
      <x:c r="F26" s="15" t="str">
        <x:v>Sin brecha principal detectada por revisión estática.</x:v>
      </x:c>
      <x:c r="G26" s="15" t="str">
        <x:v>Ejecutar prueba con comillas y payloads de SQL Injection.</x:v>
      </x:c>
      <x:c r="H26" s="15" t="str">
        <x:v>Alta</x:v>
      </x:c>
    </x:row>
    <x:row r="27" ht="72" customHeight="1">
      <x:c r="A27" s="15" t="str">
        <x:v>RNF-04</x:v>
      </x:c>
      <x:c r="B27" s="15" t="str">
        <x:v>RNF</x:v>
      </x:c>
      <x:c r="C27" s="15" t="str">
        <x:v>Autenticación y autorización separadas</x:v>
      </x:c>
      <x:c r="D27" s="15" t="str">
        <x:v>Cumple</x:v>
      </x:c>
      <x:c r="E27" s="15" t="str">
        <x:v>requireLogin y requireAdmin son middlewares separados.
src/middleware/auth.js:1-23</x:v>
      </x:c>
      <x:c r="F27" s="15" t="str">
        <x:v>El middleware existe, aunque debe aplicarse también al catálogo privado.</x:v>
      </x:c>
      <x:c r="G27" s="15" t="str">
        <x:v>Corregir aplicación de requireLogin en rutas de lectura.</x:v>
      </x:c>
      <x:c r="H27" s="15" t="str">
        <x:v>Alta</x:v>
      </x:c>
    </x:row>
    <x:row r="28" ht="72" customHeight="1">
      <x:c r="A28" s="15" t="str">
        <x:v>RNF-05</x:v>
      </x:c>
      <x:c r="B28" s="15" t="str">
        <x:v>RNF</x:v>
      </x:c>
      <x:c r="C28" s="15" t="str">
        <x:v>Integridad de datos</x:v>
      </x:c>
      <x:c r="D28" s="15" t="str">
        <x:v>Cumple</x:v>
      </x:c>
      <x:c r="E28" s="15" t="str">
        <x:v>PK, FK, UNIQUE, CHECK, administrador único y portada única están definidos en PostgreSQL.
sql/schema.sql:13-141</x:v>
      </x:c>
      <x:c r="F28" s="15" t="str">
        <x:v>Falta conservar evidencia de pruebas negativas.</x:v>
      </x:c>
      <x:c r="G28" s="15" t="str">
        <x:v>Crear y documentar pruebas de integridad en psql.</x:v>
      </x:c>
      <x:c r="H28" s="15" t="str">
        <x:v>Alta</x:v>
      </x:c>
    </x:row>
    <x:row r="29" ht="72" customHeight="1">
      <x:c r="A29" s="15" t="str">
        <x:v>RNF-06</x:v>
      </x:c>
      <x:c r="B29" s="15" t="str">
        <x:v>RNF</x:v>
      </x:c>
      <x:c r="C29" s="15" t="str">
        <x:v>Modelo normalizado hasta 4FN</x:v>
      </x:c>
      <x:c r="D29" s="15" t="str">
        <x:v>Cumple</x:v>
      </x:c>
      <x:c r="E29" s="15" t="str">
        <x:v>El esquema separa autores, géneros, imágenes y conceptos; la documentación 4FN y ER ya se preparó durante el ejercicio.
sql/schema.sql:60-64,95-141; NORMALIZATION_4FN.xlsx; DB_DESIGN_ER_4FN_PostgreSQL.drawio</x:v>
      </x:c>
      <x:c r="F29" s="15" t="str">
        <x:v>Falta colocar los artefactos finales dentro de docs/ y exportar el ER a PNG.</x:v>
      </x:c>
      <x:c r="G29" s="15" t="str">
        <x:v>Integrar archivos al repositorio y exportar docs/DB_DESIGN_ER_4FN.png.</x:v>
      </x:c>
      <x:c r="H29" s="15" t="str">
        <x:v>Media</x:v>
      </x:c>
    </x:row>
    <x:row r="30" ht="72" customHeight="1">
      <x:c r="A30" s="15" t="str">
        <x:v>RNF-07</x:v>
      </x:c>
      <x:c r="B30" s="15" t="str">
        <x:v>RNF</x:v>
      </x:c>
      <x:c r="C30" s="15" t="str">
        <x:v>Mantenibilidad y separación de responsabilidades</x:v>
      </x:c>
      <x:c r="D30" s="15" t="str">
        <x:v>Cumple</x:v>
      </x:c>
      <x:c r="E30" s="15" t="str">
        <x:v>Existe separación en config, middleware, modules, controllers/models, views y public.
src/app.js:1-59; src/modules/; src/middleware/; src/views/; src/config/</x:v>
      </x:c>
      <x:c r="F30" s="15" t="str">
        <x:v>Sin brecha estructural principal detectada.</x:v>
      </x:c>
      <x:c r="G30" s="15" t="str">
        <x:v>Mantener la separación en los próximos cambios.</x:v>
      </x:c>
      <x:c r="H30" s="15" t="str">
        <x:v>Media</x:v>
      </x:c>
    </x:row>
    <x:row r="31" ht="72" customHeight="1">
      <x:c r="A31" s="15" t="str">
        <x:v>RNF-08</x:v>
      </x:c>
      <x:c r="B31" s="15" t="str">
        <x:v>RNF</x:v>
      </x:c>
      <x:c r="C31" s="15" t="str">
        <x:v>Renderizado server-side</x:v>
      </x:c>
      <x:c r="D31" s="15" t="str">
        <x:v>Cumple</x:v>
      </x:c>
      <x:c r="E31" s="15" t="str">
        <x:v>EJS está configurado como view engine y no se registra express.json().
src/app.js:19-25; package.json</x:v>
      </x:c>
      <x:c r="F31" s="15" t="str">
        <x:v>Sin brecha principal detectada.</x:v>
      </x:c>
      <x:c r="G31" s="15" t="str">
        <x:v>Probar formularios y navegación sin API JSON.</x:v>
      </x:c>
      <x:c r="H31" s="15" t="str">
        <x:v>Baja</x:v>
      </x:c>
    </x:row>
    <x:row r="32" ht="72" customHeight="1">
      <x:c r="A32" s="15" t="str">
        <x:v>RNF-09</x:v>
      </x:c>
      <x:c r="B32" s="15" t="str">
        <x:v>RNF</x:v>
      </x:c>
      <x:c r="C32" s="15" t="str">
        <x:v>Rendimiento básico</x:v>
      </x:c>
      <x:c r="D32" s="15" t="str">
        <x:v>Cumple parcialmente</x:v>
      </x:c>
      <x:c r="E32" s="15" t="str">
        <x:v>Las búsquedas se ejecutan en PostgreSQL y existe un índice GIN para título.
sql/schema.sql:79; src/modules/libros/libro.model.js:3-18</x:v>
      </x:c>
      <x:c r="F32" s="15" t="str">
        <x:v>La consulta actual usa ILIKE, por lo que el índice GIN sobre to_tsvector no beneficia directamente esa búsqueda.</x:v>
      </x:c>
      <x:c r="G32" s="15" t="str">
        <x:v>Alinear estrategia de búsqueda e índice o documentar que el volumen académico no requiere optimización adicional.</x:v>
      </x:c>
      <x:c r="H32" s="15" t="str">
        <x:v>Baja</x:v>
      </x:c>
    </x:row>
    <x:row r="33" ht="72" customHeight="1">
      <x:c r="A33" s="15" t="str">
        <x:v>RNF-10</x:v>
      </x:c>
      <x:c r="B33" s="15" t="str">
        <x:v>RNF</x:v>
      </x:c>
      <x:c r="C33" s="15" t="str">
        <x:v>Usabilidad</x:v>
      </x:c>
      <x:c r="D33" s="15" t="str">
        <x:v>Cumple parcialmente</x:v>
      </x:c>
      <x:c r="E33" s="15" t="str">
        <x:v>Existen formularios, navegación, flash messages y vistas de error.
src/views/layout/arriba.ejs:1-39; src/views/libros/*.ejs; src/middleware/flash.js</x:v>
      </x:c>
      <x:c r="F33" s="15" t="str">
        <x:v>No se han ejecutado aún pruebas formales de navegación/usabilidad.</x:v>
      </x:c>
      <x:c r="G33" s="15" t="str">
        <x:v>Validar mediante casos de prueba y capturas.</x:v>
      </x:c>
      <x:c r="H33" s="15" t="str">
        <x:v>Baja</x:v>
      </x:c>
    </x:row>
    <x:row r="34" ht="72" customHeight="1">
      <x:c r="A34" s="15" t="str">
        <x:v>RNF-11</x:v>
      </x:c>
      <x:c r="B34" s="15" t="str">
        <x:v>RNF</x:v>
      </x:c>
      <x:c r="C34" s="15" t="str">
        <x:v>Trazabilidad de errores</x:v>
      </x:c>
      <x:c r="D34" s="15" t="str">
        <x:v>Cumple</x:v>
      </x:c>
      <x:c r="E34" s="15" t="str">
        <x:v>Los errores se registran con console.error y la UI recibe mensajes controlados.
src/middleware/errorHandler.js:1-8</x:v>
      </x:c>
      <x:c r="F34" s="15" t="str">
        <x:v>El log no es estructurado ni persistente, pero eso no es obligatorio en esta versión.</x:v>
      </x:c>
      <x:c r="G34" s="15" t="str">
        <x:v>Incluir evidencia de error controlado en plan de pruebas.</x:v>
      </x:c>
      <x:c r="H34" s="15" t="str">
        <x:v>Baja</x:v>
      </x:c>
    </x:row>
    <x:row r="35" ht="72" customHeight="1">
      <x:c r="A35" s="15" t="str">
        <x:v>RNF-12</x:v>
      </x:c>
      <x:c r="B35" s="15" t="str">
        <x:v>RNF</x:v>
      </x:c>
      <x:c r="C35" s="15" t="str">
        <x:v>Mínimo privilegio en PostgreSQL</x:v>
      </x:c>
      <x:c r="D35" s="15" t="str">
        <x:v>No cumple</x:v>
      </x:c>
      <x:c r="E35" s="15" t="str">
        <x:v>El código permite configurar usuario por entorno, pero los valores de fallback y .env.example usan postgres.
src/config/db.js:3-9; .env.example:3-7</x:v>
      </x:c>
      <x:c r="F35" s="15" t="str">
        <x:v>El repositorio no refleja el usuario de aplicación de mínimo privilegio requerido.</x:v>
      </x:c>
      <x:c r="G35" s="15" t="str">
        <x:v>Cambiar ejemplo a PGUSER=library_user y PGDATABASE=library_db; eliminar password por defecto y no almacenar la contraseña real.</x:v>
      </x:c>
      <x:c r="H35" s="15" t="str">
        <x:v>Alta</x:v>
      </x:c>
    </x:row>
    <x:row r="36" ht="72" customHeight="1">
      <x:c r="A36" s="15" t="str">
        <x:v>RNF-13</x:v>
      </x:c>
      <x:c r="B36" s="15" t="str">
        <x:v>RNF</x:v>
      </x:c>
      <x:c r="C36" s="15" t="str">
        <x:v>Manejo seguro de sesiones</x:v>
      </x:c>
      <x:c r="D36" s="15" t="str">
        <x:v>Cumple parcialmente</x:v>
      </x:c>
      <x:c r="E36" s="15" t="str">
        <x:v>La sesión se crea después de login y se destruye en logout.
src/app.js:27-34; src/modules/auth/auth.controller.js:19-26,80-81</x:v>
      </x:c>
      <x:c r="F36" s="15" t="str">
        <x:v>Falta endurecimiento para producción: secure/sameSite según HTTPS, trust proxy y un SESSION_SECRET obligatorio.</x:v>
      </x:c>
      <x:c r="G36" s="15" t="str">
        <x:v>Preparar configuración de producción antes del reverse proxy.</x:v>
      </x:c>
      <x:c r="H36" s="15" t="str">
        <x:v>Media</x:v>
      </x:c>
    </x:row>
    <x:row r="37" ht="72" customHeight="1">
      <x:c r="A37" s="15" t="str">
        <x:v>RNF-14</x:v>
      </x:c>
      <x:c r="B37" s="15" t="str">
        <x:v>RNF</x:v>
      </x:c>
      <x:c r="C37" s="15" t="str">
        <x:v>Validación segura de archivos</x:v>
      </x:c>
      <x:c r="D37" s="15" t="str">
        <x:v>Cumple parcialmente</x:v>
      </x:c>
      <x:c r="E37" s="15" t="str">
        <x:v>Hay extensión permitida, nombre generado y límite de tamaño.
src/middleware/upload.js:9-32</x:v>
      </x:c>
      <x:c r="F37" s="15" t="str">
        <x:v>No se valida MIME y se acepta GIF, que no está permitido por el ejercicio.</x:v>
      </x:c>
      <x:c r="G37" s="15" t="str">
        <x:v>Validar extensión + MIME; permitir sólo JPG/JPEG, PNG y WebP.</x:v>
      </x:c>
      <x:c r="H37" s="15" t="str">
        <x:v>Alta</x:v>
      </x:c>
    </x:row>
    <x:row r="38" ht="72" customHeight="1">
      <x:c r="A38" s="15" t="str">
        <x:v>RNF-15</x:v>
      </x:c>
      <x:c r="B38" s="15" t="str">
        <x:v>RNF</x:v>
      </x:c>
      <x:c r="C38" s="15" t="str">
        <x:v>Disponibilidad básica</x:v>
      </x:c>
      <x:c r="D38" s="15" t="str">
        <x:v>Pendiente</x:v>
      </x:c>
      <x:c r="E38" s="15" t="str">
        <x:v>No puede validarse sólo mediante revisión estática del ZIP.
README.md:15-36</x:v>
      </x:c>
      <x:c r="F38" s="15" t="str">
        <x:v>Falta evidencia de ejecución estable con Node.js y PostgreSQL.</x:v>
      </x:c>
      <x:c r="G38" s="15" t="str">
        <x:v>Verificar aplicación y BD en la VM y conservar evidencia.</x:v>
      </x:c>
      <x:c r="H38" s="15" t="str">
        <x:v>Baja</x:v>
      </x:c>
    </x:row>
    <x:row r="39" ht="72" customHeight="1">
      <x:c r="A39" s="15" t="str">
        <x:v>RNF-16</x:v>
      </x:c>
      <x:c r="B39" s="15" t="str">
        <x:v>RNF</x:v>
      </x:c>
      <x:c r="C39" s="15" t="str">
        <x:v>Despliegue mediante reverse proxy</x:v>
      </x:c>
      <x:c r="D39" s="15" t="str">
        <x:v>Pendiente</x:v>
      </x:c>
      <x:c r="E39" s="15" t="str">
        <x:v>Actualmente server.js escucha sólo por puerto sin fijar host y no existe configuración Apache/NGINX en el proyecto.
src/server.js:1-8; src/app.js:42-51</x:v>
      </x:c>
      <x:c r="F39" s="15" t="str">
        <x:v>Aún no está implementado 127.0.0.1:3000 ni el prefijo /library; esto se dejó para la fase final.</x:v>
      </x:c>
      <x:c r="G39" s="15" t="str">
        <x:v>Implementar al final: bind localhost, base path /library y reverse proxy; probar sesiones, estáticos y uploads.</x:v>
      </x:c>
      <x:c r="H39" s="15" t="str">
        <x:v>Media</x:v>
      </x:c>
    </x:row>
    <x:row r="40" ht="72" customHeight="1">
      <x:c r="A40" s="15" t="str">
        <x:v>RA-01</x:v>
      </x:c>
      <x:c r="B40" s="15" t="str">
        <x:v>RA</x:v>
      </x:c>
      <x:c r="C40" s="15" t="str">
        <x:v>Solución monolítica</x:v>
      </x:c>
      <x:c r="D40" s="15" t="str">
        <x:v>Cumple</x:v>
      </x:c>
      <x:c r="E40" s="15" t="str">
        <x:v>El proyecto web es un único proceso Node.js/Express organizado por módulos.
README.md:1-8,38-52</x:v>
      </x:c>
      <x:c r="F40" s="15" t="str">
        <x:v>Sin brecha dentro del alcance acordado.</x:v>
      </x:c>
      <x:c r="G40" s="15" t="str">
        <x:v>Mantener apps/services fuera del alcance de este ejercicio.</x:v>
      </x:c>
      <x:c r="H40" s="15" t="str">
        <x:v>Baja</x:v>
      </x:c>
    </x:row>
    <x:row r="41" ht="72" customHeight="1">
      <x:c r="A41" s="15" t="str">
        <x:v>RA-02</x:v>
      </x:c>
      <x:c r="B41" s="15" t="str">
        <x:v>RA</x:v>
      </x:c>
      <x:c r="C41" s="15" t="str">
        <x:v>Node.js + Express</x:v>
      </x:c>
      <x:c r="D41" s="15" t="str">
        <x:v>Cumple</x:v>
      </x:c>
      <x:c r="E41" s="15" t="str">
        <x:v>Express es dependencia y app.js inicializa la aplicación.
package.json; src/app.js:1-17</x:v>
      </x:c>
      <x:c r="F41" s="15" t="str">
        <x:v>Sin brecha.</x:v>
      </x:c>
      <x:c r="G41" s="15" t="str">
        <x:v>Ninguna.</x:v>
      </x:c>
      <x:c r="H41" s="15" t="str">
        <x:v>Baja</x:v>
      </x:c>
    </x:row>
    <x:row r="42" ht="72" customHeight="1">
      <x:c r="A42" s="15" t="str">
        <x:v>RA-03</x:v>
      </x:c>
      <x:c r="B42" s="15" t="str">
        <x:v>RA</x:v>
      </x:c>
      <x:c r="C42" s="15" t="str">
        <x:v>EJS server-side</x:v>
      </x:c>
      <x:c r="D42" s="15" t="str">
        <x:v>Cumple</x:v>
      </x:c>
      <x:c r="E42" s="15" t="str">
        <x:v>EJS es view engine del monolito.
src/app.js:19-20; src/views/</x:v>
      </x:c>
      <x:c r="F42" s="15" t="str">
        <x:v>Sin brecha.</x:v>
      </x:c>
      <x:c r="G42" s="15" t="str">
        <x:v>Ninguna.</x:v>
      </x:c>
      <x:c r="H42" s="15" t="str">
        <x:v>Baja</x:v>
      </x:c>
    </x:row>
    <x:row r="43" ht="72" customHeight="1">
      <x:c r="A43" s="15" t="str">
        <x:v>RA-04</x:v>
      </x:c>
      <x:c r="B43" s="15" t="str">
        <x:v>RA</x:v>
      </x:c>
      <x:c r="C43" s="15" t="str">
        <x:v>Acceso directo a PostgreSQL con pg</x:v>
      </x:c>
      <x:c r="D43" s="15" t="str">
        <x:v>Cumple</x:v>
      </x:c>
      <x:c r="E43" s="15" t="str">
        <x:v>Pool pg centralizado y modelos consultan directamente PostgreSQL.
src/config/db.js:1-15; src/modules/**/*.model.js</x:v>
      </x:c>
      <x:c r="F43" s="15" t="str">
        <x:v>Sin brecha.</x:v>
      </x:c>
      <x:c r="G43" s="15" t="str">
        <x:v>Ninguna.</x:v>
      </x:c>
      <x:c r="H43" s="15" t="str">
        <x:v>Baja</x:v>
      </x:c>
    </x:row>
    <x:row r="44" ht="72" customHeight="1">
      <x:c r="A44" s="15" t="str">
        <x:v>RA-05</x:v>
      </x:c>
      <x:c r="B44" s="15" t="str">
        <x:v>RA</x:v>
      </x:c>
      <x:c r="C44" s="15" t="str">
        <x:v>Consultas parametrizadas</x:v>
      </x:c>
      <x:c r="D44" s="15" t="str">
        <x:v>Cumple</x:v>
      </x:c>
      <x:c r="E44" s="15" t="str">
        <x:v>Los valores dinámicos usan placeholders de pg.
src/modules/libros/libro.model.js; src/modules/libros/asociaciones.model.js; src/modules/usuarios/usuario.model.js</x:v>
      </x:c>
      <x:c r="F44" s="15" t="str">
        <x:v>Sin brecha principal.</x:v>
      </x:c>
      <x:c r="G44" s="15" t="str">
        <x:v>Validar con prueba de caracteres especiales.</x:v>
      </x:c>
      <x:c r="H44" s="15" t="str">
        <x:v>Media</x:v>
      </x:c>
    </x:row>
    <x:row r="45" ht="72" customHeight="1">
      <x:c r="A45" s="15" t="str">
        <x:v>RA-06</x:v>
      </x:c>
      <x:c r="B45" s="15" t="str">
        <x:v>RA</x:v>
      </x:c>
      <x:c r="C45" s="15" t="str">
        <x:v>Sin API REST</x:v>
      </x:c>
      <x:c r="D45" s="15" t="str">
        <x:v>Cumple</x:v>
      </x:c>
      <x:c r="E45" s="15" t="str">
        <x:v>La interacción del monolito usa rutas HTML y renderizado EJS.
src/app.js:22-25; README.md:3-8</x:v>
      </x:c>
      <x:c r="F45" s="15" t="str">
        <x:v>Sin brecha.</x:v>
      </x:c>
      <x:c r="G45" s="15" t="str">
        <x:v>Ninguna.</x:v>
      </x:c>
      <x:c r="H45" s="15" t="str">
        <x:v>Baja</x:v>
      </x:c>
    </x:row>
    <x:row r="46" ht="72" customHeight="1">
      <x:c r="A46" s="15" t="str">
        <x:v>RA-07</x:v>
      </x:c>
      <x:c r="B46" s="15" t="str">
        <x:v>RA</x:v>
      </x:c>
      <x:c r="C46" s="15" t="str">
        <x:v>Sin GraphQL</x:v>
      </x:c>
      <x:c r="D46" s="15" t="str">
        <x:v>Cumple</x:v>
      </x:c>
      <x:c r="E46" s="15" t="str">
        <x:v>No existen dependencias ni endpoints GraphQL dentro del monolito.
package.json; src/</x:v>
      </x:c>
      <x:c r="F46" s="15" t="str">
        <x:v>Sin brecha.</x:v>
      </x:c>
      <x:c r="G46" s="15" t="str">
        <x:v>Ninguna.</x:v>
      </x:c>
      <x:c r="H46" s="15" t="str">
        <x:v>Baja</x:v>
      </x:c>
    </x:row>
    <x:row r="47" ht="72" customHeight="1">
      <x:c r="A47" s="15" t="str">
        <x:v>RA-08</x:v>
      </x:c>
      <x:c r="B47" s="15" t="str">
        <x:v>RA</x:v>
      </x:c>
      <x:c r="C47" s="15" t="str">
        <x:v>Sin SOAP en el monolito</x:v>
      </x:c>
      <x:c r="D47" s="15" t="str">
        <x:v>Cumple</x:v>
      </x:c>
      <x:c r="E47" s="15" t="str">
        <x:v>El monolito no consume ni expone SOAP; apps/services se excluye de este ejercicio.
apps/web-monolito01/backend-node/</x:v>
      </x:c>
      <x:c r="F47" s="15" t="str">
        <x:v>Sin brecha dentro del alcance.</x:v>
      </x:c>
      <x:c r="G47" s="15" t="str">
        <x:v>Mantener claramente separado el ejercicio de services.</x:v>
      </x:c>
      <x:c r="H47" s="15" t="str">
        <x:v>Baja</x:v>
      </x:c>
    </x:row>
    <x:row r="48" ht="72" customHeight="1">
      <x:c r="A48" s="15" t="str">
        <x:v>RA-09</x:v>
      </x:c>
      <x:c r="B48" s="15" t="str">
        <x:v>RA</x:v>
      </x:c>
      <x:c r="C48" s="15" t="str">
        <x:v>Sin microservicios</x:v>
      </x:c>
      <x:c r="D48" s="15" t="str">
        <x:v>Cumple</x:v>
      </x:c>
      <x:c r="E48" s="15" t="str">
        <x:v>Los módulos son internos a la misma unidad desplegable.
README.md:38-52</x:v>
      </x:c>
      <x:c r="F48" s="15" t="str">
        <x:v>Sin brecha.</x:v>
      </x:c>
      <x:c r="G48" s="15" t="str">
        <x:v>Ninguna.</x:v>
      </x:c>
      <x:c r="H48" s="15" t="str">
        <x:v>Baja</x:v>
      </x:c>
    </x:row>
    <x:row r="49" ht="72" customHeight="1">
      <x:c r="A49" s="15" t="str">
        <x:v>RA-10</x:v>
      </x:c>
      <x:c r="B49" s="15" t="str">
        <x:v>RA</x:v>
      </x:c>
      <x:c r="C49" s="15" t="str">
        <x:v>Sin JSON/XML como intercambio frontend-backend</x:v>
      </x:c>
      <x:c r="D49" s="15" t="str">
        <x:v>Cumple</x:v>
      </x:c>
      <x:c r="E49" s="15" t="str">
        <x:v>No se registra express.json(); se usan urlencoded y multipart.
src/app.js:22-25; README.md:3-8</x:v>
      </x:c>
      <x:c r="F49" s="15" t="str">
        <x:v>Sin brecha.</x:v>
      </x:c>
      <x:c r="G49" s="15" t="str">
        <x:v>Ninguna.</x:v>
      </x:c>
      <x:c r="H49" s="15" t="str">
        <x:v>Baja</x:v>
      </x:c>
    </x:row>
    <x:row r="50" ht="72" customHeight="1">
      <x:c r="A50" s="15" t="str">
        <x:v>RA-11</x:v>
      </x:c>
      <x:c r="B50" s="15" t="str">
        <x:v>RA</x:v>
      </x:c>
      <x:c r="C50" s="15" t="str">
        <x:v>Formularios HTML directos al monolito</x:v>
      </x:c>
      <x:c r="D50" s="15" t="str">
        <x:v>Cumple</x:v>
      </x:c>
      <x:c r="E50" s="15" t="str">
        <x:v>Las vistas EJS contienen formularios POST/GET tradicionales.
src/views/**/*.ejs</x:v>
      </x:c>
      <x:c r="F50" s="15" t="str">
        <x:v>Sin brecha.</x:v>
      </x:c>
      <x:c r="G50" s="15" t="str">
        <x:v>Ninguna.</x:v>
      </x:c>
      <x:c r="H50" s="15" t="str">
        <x:v>Baja</x:v>
      </x:c>
    </x:row>
    <x:row r="51" ht="72" customHeight="1">
      <x:c r="A51" s="15" t="str">
        <x:v>RA-12</x:v>
      </x:c>
      <x:c r="B51" s="15" t="str">
        <x:v>RA</x:v>
      </x:c>
      <x:c r="C51" s="15" t="str">
        <x:v>Sólo registrados acceden a áreas privadas</x:v>
      </x:c>
      <x:c r="D51" s="15" t="str">
        <x:v>Cumple parcialmente</x:v>
      </x:c>
      <x:c r="E51" s="15" t="str">
        <x:v>Las rutas administrativas sí están protegidas, pero catálogo/detalle siguen públicos.
src/middleware/auth.js:1-23; src/modules/libros/libro.routes.js:1-25</x:v>
      </x:c>
      <x:c r="F51" s="15" t="str">
        <x:v>Falta declarar catálogo y detalle como privados en rutas.</x:v>
      </x:c>
      <x:c r="G51" s="15" t="str">
        <x:v>Agregar requireLogin.</x:v>
      </x:c>
      <x:c r="H51" s="15" t="str">
        <x:v>Alta</x:v>
      </x:c>
    </x:row>
    <x:row r="52" ht="72" customHeight="1">
      <x:c r="A52" s="15" t="str">
        <x:v>RA-13</x:v>
      </x:c>
      <x:c r="B52" s="15" t="str">
        <x:v>RA</x:v>
      </x:c>
      <x:c r="C52" s="15" t="str">
        <x:v>Máximo un Administrador</x:v>
      </x:c>
      <x:c r="D52" s="15" t="str">
        <x:v>Cumple</x:v>
      </x:c>
      <x:c r="E52" s="15" t="str">
        <x:v>Índice único parcial en PostgreSQL.
sql/schema.sql:23-26</x:v>
      </x:c>
      <x:c r="F52" s="15" t="str">
        <x:v>Sin brecha principal.</x:v>
      </x:c>
      <x:c r="G52" s="15" t="str">
        <x:v>Probar segundo administrador directamente en PostgreSQL.</x:v>
      </x:c>
      <x:c r="H52" s="15" t="str">
        <x:v>Alta</x:v>
      </x:c>
    </x:row>
    <x:row r="53" ht="72" customHeight="1">
      <x:c r="A53" s="15" t="str">
        <x:v>RA-14</x:v>
      </x:c>
      <x:c r="B53" s="15" t="str">
        <x:v>RA</x:v>
      </x:c>
      <x:c r="C53" s="15" t="str">
        <x:v>Node escucha en 127.0.0.1:3000</x:v>
      </x:c>
      <x:c r="D53" s="15" t="str">
        <x:v>No cumple</x:v>
      </x:c>
      <x:c r="E53" s="15" t="str">
        <x:v>server.js llama app.listen(PORT) sin host explícito.
src/server.js:1-8</x:v>
      </x:c>
      <x:c r="F53" s="15" t="str">
        <x:v>Node puede escuchar en todas las interfaces.</x:v>
      </x:c>
      <x:c r="G53" s="15" t="str">
        <x:v>Cambiar a app.listen(PORT, '127.0.0.1', ... ) en fase de despliegue.</x:v>
      </x:c>
      <x:c r="H53" s="15" t="str">
        <x:v>Media</x:v>
      </x:c>
    </x:row>
    <x:row r="54" ht="72" customHeight="1">
      <x:c r="A54" s="15" t="str">
        <x:v>RA-15</x:v>
      </x:c>
      <x:c r="B54" s="15" t="str">
        <x:v>RA</x:v>
      </x:c>
      <x:c r="C54" s="15" t="str">
        <x:v>Publicación final bajo /library mediante Apache/NGINX</x:v>
      </x:c>
      <x:c r="D54" s="15" t="str">
        <x:v>Pendiente</x:v>
      </x:c>
      <x:c r="E54" s="15" t="str">
        <x:v>No existe aún configuración de reverse proxy y las rutas/vínculos actuales parten de /.
src/app.js:42-51; src/views/layout/arriba.ejs:7-31</x:v>
      </x:c>
      <x:c r="F54" s="15" t="str">
        <x:v>El prefijo /library aún no está soportado ni probado.</x:v>
      </x:c>
      <x:c r="G54" s="15" t="str">
        <x:v>Implementar configuración de base path y reverse proxy al final.</x:v>
      </x:c>
      <x:c r="H54" s="15" t="str">
        <x:v>Media</x:v>
      </x:c>
    </x:row>
  </x:sheetData>
  <x:conditionalFormatting sqref="D2:D54">
    <x:cfRule type="expression" dxfId="0" priority="1">
      <x:formula>D2="Cumple"</x:formula>
    </x:cfRule>
    <x:cfRule type="expression" dxfId="1" priority="2">
      <x:formula>D2="Cumple parcialmente"</x:formula>
    </x:cfRule>
    <x:cfRule type="expression" dxfId="2" priority="3">
      <x:formula>D2="No cumple"</x:formula>
    </x:cfRule>
    <x:cfRule type="expression" dxfId="3" priority="4">
      <x:formula>D2="Pendiente"</x:formula>
    </x:cfRule>
  </x:conditionalFormatting>
  <x:conditionalFormatting sqref="H2:H54">
    <x:cfRule type="expression" dxfId="4" priority="5">
      <x:formula>H2="Alta"</x:formula>
    </x:cfRule>
    <x:cfRule type="expression" dxfId="5" priority="6">
      <x:formula>H2="Media"</x:formula>
    </x:cfRule>
    <x:cfRule type="expression" dxfId="6" priority="7">
      <x:formula>H2="Baja"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7ff16cb31342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46" hidden="0" customWidth="1"/>
    <x:col min="5" max="5" width="52" hidden="0" customWidth="1"/>
  </x:cols>
  <x:sheetData>
    <x:row r="1" ht="30" customHeight="1">
      <x:c r="A1" s="6" t="str">
        <x:v>ID</x:v>
      </x:c>
      <x:c r="B1" s="6" t="str">
        <x:v>Entregable</x:v>
      </x:c>
      <x:c r="C1" s="6" t="str">
        <x:v>Estado actual</x:v>
      </x:c>
      <x:c r="D1" s="6" t="str">
        <x:v>Evidencia / archivo actual</x:v>
      </x:c>
      <x:c r="E1" s="6" t="str">
        <x:v>Siguiente acción</x:v>
      </x:c>
    </x:row>
    <x:row r="2" ht="58" customHeight="1">
      <x:c r="A2" s="12" t="str">
        <x:v>D-01</x:v>
      </x:c>
      <x:c r="B2" s="12" t="str">
        <x:v>docs/NORMALIZATION_4FN.xlsx</x:v>
      </x:c>
      <x:c r="C2" s="12" t="str">
        <x:v>Creado fuera del ZIP</x:v>
      </x:c>
      <x:c r="D2" s="12" t="str">
        <x:v>NORMALIZATION_4FN.xlsx</x:v>
      </x:c>
      <x:c r="E2" s="12" t="str">
        <x:v>Copiar al directorio docs/ del proyecto.</x:v>
      </x:c>
    </x:row>
    <x:row r="3" ht="58" customHeight="1">
      <x:c r="A3" s="12" t="str">
        <x:v>D-02</x:v>
      </x:c>
      <x:c r="B3" s="12" t="str">
        <x:v>docs/DB_DESIGN_ER_4FN.png</x:v>
      </x:c>
      <x:c r="C3" s="12" t="str">
        <x:v>Parcial</x:v>
      </x:c>
      <x:c r="D3" s="12" t="str">
        <x:v>DB_DESIGN_ER_4FN_PostgreSQL.drawio</x:v>
      </x:c>
      <x:c r="E3" s="12" t="str">
        <x:v>Exportar el draw.io final como PNG y colocarlo en docs/.</x:v>
      </x:c>
    </x:row>
    <x:row r="4" ht="58" customHeight="1">
      <x:c r="A4" s="12" t="str">
        <x:v>D-03</x:v>
      </x:c>
      <x:c r="B4" s="12" t="str">
        <x:v>docs/ARCHITECTURE_MONOLITHIC.png</x:v>
      </x:c>
      <x:c r="C4" s="12" t="str">
        <x:v>Parcial</x:v>
      </x:c>
      <x:c r="D4" s="12" t="str">
        <x:v>ARCHITECTURE_MONOLITHIC.drawio</x:v>
      </x:c>
      <x:c r="E4" s="12" t="str">
        <x:v>Exportar el draw.io final como PNG y colocarlo en docs/.</x:v>
      </x:c>
    </x:row>
    <x:row r="5" ht="58" customHeight="1">
      <x:c r="A5" s="12" t="str">
        <x:v>D-04</x:v>
      </x:c>
      <x:c r="B5" s="12" t="str">
        <x:v>docs/REQUIREMENTS.md</x:v>
      </x:c>
      <x:c r="C5" s="12" t="str">
        <x:v>Creado fuera del ZIP</x:v>
      </x:c>
      <x:c r="D5" s="12" t="str">
        <x:v>REQUIREMENTS.md</x:v>
      </x:c>
      <x:c r="E5" s="12" t="str">
        <x:v>Copiar a docs/.</x:v>
      </x:c>
    </x:row>
    <x:row r="6" ht="58" customHeight="1">
      <x:c r="A6" s="12" t="str">
        <x:v>D-05</x:v>
      </x:c>
      <x:c r="B6" s="12" t="str">
        <x:v>docs/ENGINEERING_DECISIONS.md</x:v>
      </x:c>
      <x:c r="C6" s="12" t="str">
        <x:v>Creado fuera del ZIP</x:v>
      </x:c>
      <x:c r="D6" s="12" t="str">
        <x:v>ENGINEERING_DECISIONS.md</x:v>
      </x:c>
      <x:c r="E6" s="12" t="str">
        <x:v>Copiar a docs/.</x:v>
      </x:c>
    </x:row>
    <x:row r="7" ht="58" customHeight="1">
      <x:c r="A7" s="12" t="str">
        <x:v>D-06</x:v>
      </x:c>
      <x:c r="B7" s="12" t="str">
        <x:v>db/00_create_database.sql</x:v>
      </x:c>
      <x:c r="C7" s="12" t="str">
        <x:v>Falta</x:v>
      </x:c>
      <x:c r="D7" s="12" t="str">
        <x:v>No existe en el ZIP</x:v>
      </x:c>
      <x:c r="E7" s="12" t="str">
        <x:v>Crear script sin publicar contraseña real.</x:v>
      </x:c>
    </x:row>
    <x:row r="8" ht="58" customHeight="1">
      <x:c r="A8" s="12" t="str">
        <x:v>D-07</x:v>
      </x:c>
      <x:c r="B8" s="12" t="str">
        <x:v>db/01_schema.sql</x:v>
      </x:c>
      <x:c r="C8" s="12" t="str">
        <x:v>Parcial</x:v>
      </x:c>
      <x:c r="D8" s="12" t="str">
        <x:v>sql/schema.sql</x:v>
      </x:c>
      <x:c r="E8" s="12" t="str">
        <x:v>Mover/adaptar el esquema al nombre y ruta requeridos.</x:v>
      </x:c>
    </x:row>
    <x:row r="9" ht="58" customHeight="1">
      <x:c r="A9" s="12" t="str">
        <x:v>D-08</x:v>
      </x:c>
      <x:c r="B9" s="12" t="str">
        <x:v>db/02_seed_30_per_table.sql</x:v>
      </x:c>
      <x:c r="C9" s="12" t="str">
        <x:v>No cumple</x:v>
      </x:c>
      <x:c r="D9" s="12" t="str">
        <x:v>sql/data.sql</x:v>
      </x:c>
      <x:c r="E9" s="12" t="str">
        <x:v>El seed actual tiene 4 formatos, 4 categorías, 6 géneros, 8 autores, 5 conceptos, 4 usuarios, 10 libros, 12 libro_autor, 12 libro_genero, 10 imágenes y 5 libro_concepto; ampliar a 30 por tabla según el formato pedido.</x:v>
      </x:c>
    </x:row>
    <x:row r="10" ht="58" customHeight="1">
      <x:c r="A10" s="12" t="str">
        <x:v>D-09</x:v>
      </x:c>
      <x:c r="B10" s="12" t="str">
        <x:v>db/03_all_quieries_before_stored_procedures.sql</x:v>
      </x:c>
      <x:c r="C10" s="12" t="str">
        <x:v>Falta</x:v>
      </x:c>
      <x:c r="D10" s="12" t="str">
        <x:v>No existe en el ZIP</x:v>
      </x:c>
      <x:c r="E10" s="12" t="str">
        <x:v>Crear cuando definamos las consultas previas a SP.</x:v>
      </x:c>
    </x:row>
    <x:row r="11" ht="58" customHeight="1">
      <x:c r="A11" s="12" t="str">
        <x:v>D-10</x:v>
      </x:c>
      <x:c r="B11" s="12" t="str">
        <x:v>db/04_stored_procedures.sql</x:v>
      </x:c>
      <x:c r="C11" s="12" t="str">
        <x:v>Falta</x:v>
      </x:c>
      <x:c r="D11" s="12" t="str">
        <x:v>No existe en el ZIP</x:v>
      </x:c>
      <x:c r="E11" s="12" t="str">
        <x:v>Diseñar e implementar los stored procedures requeridos.</x:v>
      </x:c>
    </x:row>
    <x:row r="12" ht="58" customHeight="1">
      <x:c r="A12" s="12" t="str">
        <x:v>D-11</x:v>
      </x:c>
      <x:c r="B12" s="12" t="str">
        <x:v>db/05_triggers.sql</x:v>
      </x:c>
      <x:c r="C12" s="12" t="str">
        <x:v>Parcial</x:v>
      </x:c>
      <x:c r="D12" s="12" t="str">
        <x:v>sql/schema.sql:81-93</x:v>
      </x:c>
      <x:c r="E12" s="12" t="str">
        <x:v>Existe un trigger de fecha, pero está embebido en schema.sql; separarlo y completar los triggers requeridos.</x:v>
      </x:c>
    </x:row>
    <x:row r="13" ht="58" customHeight="1">
      <x:c r="A13" s="12" t="str">
        <x:v>D-12</x:v>
      </x:c>
      <x:c r="B13" s="12" t="str">
        <x:v>db/06_views.sql</x:v>
      </x:c>
      <x:c r="C13" s="12" t="str">
        <x:v>Falta</x:v>
      </x:c>
      <x:c r="D13" s="12" t="str">
        <x:v>No existe en el ZIP</x:v>
      </x:c>
      <x:c r="E13" s="12" t="str">
        <x:v>Diseñar vistas útiles y verificables.</x:v>
      </x:c>
    </x:row>
    <x:row r="14" ht="58" customHeight="1">
      <x:c r="A14" s="12" t="str">
        <x:v>D-13</x:v>
      </x:c>
      <x:c r="B14" s="12" t="str">
        <x:v>Libro Cloud Computing + conceptos</x:v>
      </x:c>
      <x:c r="C14" s="12" t="str">
        <x:v>Falta</x:v>
      </x:c>
      <x:c r="D14" s="12" t="str">
        <x:v>sql/data.sql:42-47,125-132</x:v>
      </x:c>
      <x:c r="E14" s="12" t="str">
        <x:v>Agregar IaaS, PaaS, SaaS, FaaS, Bucket, Public Cloud, Private Cloud, Hybrid Cloud, Multicloud y Serverless con definiciones por libro.</x:v>
      </x:c>
    </x:row>
    <x:row r="15" ht="58" customHeight="1">
      <x:c r="A15" s="12" t="str">
        <x:v>D-14</x:v>
      </x:c>
      <x:c r="B15" s="12" t="str">
        <x:v>docs/SECURITY_REVIEW.md</x:v>
      </x:c>
      <x:c r="C15" s="12" t="str">
        <x:v>Falta</x:v>
      </x:c>
      <x:c r="D15" s="12" t="str">
        <x:v>No existe en el ZIP</x:v>
      </x:c>
      <x:c r="E15" s="12" t="str">
        <x:v>Crear después de corregir controles principales.</x:v>
      </x:c>
    </x:row>
    <x:row r="16" ht="58" customHeight="1">
      <x:c r="A16" s="12" t="str">
        <x:v>D-15</x:v>
      </x:c>
      <x:c r="B16" s="12" t="str">
        <x:v>docs/TEST_PLAN.xlsx o .md</x:v>
      </x:c>
      <x:c r="C16" s="12" t="str">
        <x:v>Falta</x:v>
      </x:c>
      <x:c r="D16" s="12" t="str">
        <x:v>No existe en el ZIP</x:v>
      </x:c>
      <x:c r="E16" s="12" t="str">
        <x:v>Diseñar al menos 15 pruebas positivas/negativas ligadas a RF/RNF.</x:v>
      </x:c>
    </x:row>
    <x:row r="17" ht="58" customHeight="1">
      <x:c r="A17" s="12" t="str">
        <x:v>D-16</x:v>
      </x:c>
      <x:c r="B17" s="12" t="str">
        <x:v>AI_PROMPT_HISTORY.md / AI_CHANGELOG.md</x:v>
      </x:c>
      <x:c r="C17" s="12" t="str">
        <x:v>Falta</x:v>
      </x:c>
      <x:c r="D17" s="12" t="str">
        <x:v>No existe en el ZIP</x:v>
      </x:c>
      <x:c r="E17" s="12" t="str">
        <x:v>Documentar los cambios que hagamos con Claude/IA.</x:v>
      </x:c>
    </x:row>
    <x:row r="18" ht="58" customHeight="1">
      <x:c r="A18" s="12" t="str">
        <x:v>D-17</x:v>
      </x:c>
      <x:c r="B18" s="12" t="str">
        <x:v>Reverse proxy y /library</x:v>
      </x:c>
      <x:c r="C18" s="12" t="str">
        <x:v>Pendiente final</x:v>
      </x:c>
      <x:c r="D18" s="12" t="str">
        <x:v>No existe configuración</x:v>
      </x:c>
      <x:c r="E18" s="12" t="str">
        <x:v>Dejar para el final como se acordó.</x:v>
      </x:c>
    </x:row>
    <x:row r="19" ht="58" customHeight="1">
      <x:c r="A19" s="12" t="str">
        <x:v>D-18</x:v>
      </x:c>
      <x:c r="B19" s="12" t="str">
        <x:v>Página de evidencias ubiquitous.udem.edu</x:v>
      </x:c>
      <x:c r="C19" s="12" t="str">
        <x:v>Pendiente final</x:v>
      </x:c>
      <x:c r="D19" s="12" t="str">
        <x:v>No existe aún</x:v>
      </x:c>
      <x:c r="E19" s="12" t="str">
        <x:v>Construir después de implementación, seguridad y pruebas.</x:v>
      </x:c>
    </x:row>
  </x:sheetData>
  <x:conditionalFormatting sqref="C2:C19">
    <x:cfRule type="expression" dxfId="7" priority="1">
      <x:formula>C2="Falta"</x:formula>
    </x:cfRule>
    <x:cfRule type="expression" dxfId="8" priority="2">
      <x:formula>C2="No cumple"</x:formula>
    </x:cfRule>
    <x:cfRule type="expression" dxfId="9" priority="3">
      <x:formula>C2="Parcial"</x:formula>
    </x:cfRule>
    <x:cfRule type="expression" dxfId="10" priority="4">
      <x:formula>C2="Creado fuera del ZIP"</x:formula>
    </x:cfRule>
    <x:cfRule type="expression" dxfId="11" priority="5">
      <x:formula>C2="Pendiente final"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5ea397db254b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25" hidden="0" customWidth="1"/>
    <x:col min="5" max="5" width="42" hidden="0" customWidth="1"/>
    <x:col min="6" max="6" width="52" hidden="0" customWidth="1"/>
    <x:col min="7" max="7" width="48" hidden="0" customWidth="1"/>
  </x:cols>
  <x:sheetData>
    <x:row r="1" ht="30" customHeight="1">
      <x:c r="A1" s="6" t="str">
        <x:v>ID</x:v>
      </x:c>
      <x:c r="B1" s="6" t="str">
        <x:v>Prioridad</x:v>
      </x:c>
      <x:c r="C1" s="6" t="str">
        <x:v>Cambio</x:v>
      </x:c>
      <x:c r="D1" s="6" t="str">
        <x:v>Requisitos / entregables</x:v>
      </x:c>
      <x:c r="E1" s="6" t="str">
        <x:v>Archivos objetivo</x:v>
      </x:c>
      <x:c r="F1" s="6" t="str">
        <x:v>Qué hacer</x:v>
      </x:c>
      <x:c r="G1" s="6" t="str">
        <x:v>Cómo verificar</x:v>
      </x:c>
    </x:row>
    <x:row r="2" ht="72" customHeight="1">
      <x:c r="A2" s="12" t="str">
        <x:v>P0-01</x:v>
      </x:c>
      <x:c r="B2" s="12" t="str">
        <x:v>Alta</x:v>
      </x:c>
      <x:c r="C2" s="12" t="str">
        <x:v>Proteger catálogo y detalle</x:v>
      </x:c>
      <x:c r="D2" s="12" t="str">
        <x:v>RF-04, RF-05, RF-07, RA-12</x:v>
      </x:c>
      <x:c r="E2" s="12" t="str">
        <x:v>src/modules/libros/libro.routes.js</x:v>
      </x:c>
      <x:c r="F2" s="12" t="str">
        <x:v>Agregar requireLogin a GET /libros y GET /libros/:isbn.</x:v>
      </x:c>
      <x:c r="G2" s="12" t="str">
        <x:v>Login → catálogo funciona; incógnito → redirección a /login.</x:v>
      </x:c>
    </x:row>
    <x:row r="3" ht="72" customHeight="1">
      <x:c r="A3" s="12" t="str">
        <x:v>P0-02</x:v>
      </x:c>
      <x:c r="B3" s="12" t="str">
        <x:v>Alta</x:v>
      </x:c>
      <x:c r="C3" s="12" t="str">
        <x:v>Búsqueda ISBN + título</x:v>
      </x:c>
      <x:c r="D3" s="12" t="str">
        <x:v>RF-06</x:v>
      </x:c>
      <x:c r="E3" s="12" t="str">
        <x:v>src/modules/libros/libro.model.js; src/views/libros/lista.ejs</x:v>
      </x:c>
      <x:c r="F3" s="12" t="str">
        <x:v>Modificar consulta parametrizada para buscar ISBN o título.</x:v>
      </x:c>
      <x:c r="G3" s="12" t="str">
        <x:v>Buscar ISBN exacto y fragmento de título.</x:v>
      </x:c>
    </x:row>
    <x:row r="4" ht="72" customHeight="1">
      <x:c r="A4" s="12" t="str">
        <x:v>P0-03</x:v>
      </x:c>
      <x:c r="B4" s="12" t="str">
        <x:v>Alta</x:v>
      </x:c>
      <x:c r="C4" s="12" t="str">
        <x:v>Endurecer uploads y completar edición</x:v>
      </x:c>
      <x:c r="D4" s="12" t="str">
        <x:v>RF-17, RNF-14</x:v>
      </x:c>
      <x:c r="E4" s="12" t="str">
        <x:v>src/middleware/upload.js; libro.controller.js; asociaciones.model.js; formulario.ejs</x:v>
      </x:c>
      <x:c r="F4" s="12" t="str">
        <x:v>Quitar GIF, validar MIME, agregar edición de texto alternativo/orden.</x:v>
      </x:c>
      <x:c r="G4" s="12" t="str">
        <x:v>JPG/PNG/WebP aceptados; GIF/falso MIME rechazados; metadatos editables.</x:v>
      </x:c>
    </x:row>
    <x:row r="5" ht="72" customHeight="1">
      <x:c r="A5" s="12" t="str">
        <x:v>P0-04</x:v>
      </x:c>
      <x:c r="B5" s="12" t="str">
        <x:v>Alta</x:v>
      </x:c>
      <x:c r="C5" s="12" t="str">
        <x:v>Eliminar fallbacks sensibles y mínimo privilegio</x:v>
      </x:c>
      <x:c r="D5" s="12" t="str">
        <x:v>RNF-02, RNF-12</x:v>
      </x:c>
      <x:c r="E5" s="12" t="str">
        <x:v>src/config/db.js; src/app.js; .env.example</x:v>
      </x:c>
      <x:c r="F5" s="12" t="str">
        <x:v>Exigir variables sensibles; usar library_user/library_db como nombres de ejemplo sin contraseña real.</x:v>
      </x:c>
      <x:c r="G5" s="12" t="str">
        <x:v>App falla de forma clara si faltan secretos; no hay password hardcodeado.</x:v>
      </x:c>
    </x:row>
    <x:row r="6" ht="72" customHeight="1">
      <x:c r="A6" s="12" t="str">
        <x:v>P0-05</x:v>
      </x:c>
      <x:c r="B6" s="12" t="str">
        <x:v>Alta</x:v>
      </x:c>
      <x:c r="C6" s="12" t="str">
        <x:v>Completar validación server-side</x:v>
      </x:c>
      <x:c r="D6" s="12" t="str">
        <x:v>RF-21</x:v>
      </x:c>
      <x:c r="E6" s="12" t="str">
        <x:v>auth.controller.js; libro.controller.js; catalogoFactory.js; asociaciones</x:v>
      </x:c>
      <x:c r="F6" s="12" t="str">
        <x:v>Validar formato email, IDs, rangos y campos de asociaciones.</x:v>
      </x:c>
      <x:c r="G6" s="12" t="str">
        <x:v>Entradas inválidas se rechazan antes de llegar a SQL cuando sea apropiado.</x:v>
      </x:c>
    </x:row>
    <x:row r="7" ht="72" customHeight="1">
      <x:c r="A7" s="12" t="str">
        <x:v>P1-01</x:v>
      </x:c>
      <x:c r="B7" s="12" t="str">
        <x:v>Alta</x:v>
      </x:c>
      <x:c r="C7" s="12" t="str">
        <x:v>Reorganizar scripts de BD</x:v>
      </x:c>
      <x:c r="D7" s="12" t="str">
        <x:v>Entregables D-06 a D-12</x:v>
      </x:c>
      <x:c r="E7" s="12" t="str">
        <x:v>db/</x:v>
      </x:c>
      <x:c r="F7" s="12" t="str">
        <x:v>Crear 00..06 con esquema, seed, consultas, SP, triggers y vistas.</x:v>
      </x:c>
      <x:c r="G7" s="12" t="str">
        <x:v>Scripts ejecutan en orden sin error.</x:v>
      </x:c>
    </x:row>
    <x:row r="8" ht="72" customHeight="1">
      <x:c r="A8" s="12" t="str">
        <x:v>P1-02</x:v>
      </x:c>
      <x:c r="B8" s="12" t="str">
        <x:v>Alta</x:v>
      </x:c>
      <x:c r="C8" s="12" t="str">
        <x:v>Ampliar seed a 30 por tabla y Cloud Computing</x:v>
      </x:c>
      <x:c r="D8" s="12" t="str">
        <x:v>D-08, D-13</x:v>
      </x:c>
      <x:c r="E8" s="12" t="str">
        <x:v>db/02_seed_30_per_table.sql</x:v>
      </x:c>
      <x:c r="F8" s="12" t="str">
        <x:v>Crear datos sintéticos suficientes y libro de Cloud Computing con conceptos exigidos.</x:v>
      </x:c>
      <x:c r="G8" s="12" t="str">
        <x:v>Conteos verificados con SELECT COUNT(*).</x:v>
      </x:c>
    </x:row>
    <x:row r="9" ht="72" customHeight="1">
      <x:c r="A9" s="12" t="str">
        <x:v>P1-03</x:v>
      </x:c>
      <x:c r="B9" s="12" t="str">
        <x:v>Alta</x:v>
      </x:c>
      <x:c r="C9" s="12" t="str">
        <x:v>Pruebas negativas de integridad</x:v>
      </x:c>
      <x:c r="D9" s="12" t="str">
        <x:v>RNF-05</x:v>
      </x:c>
      <x:c r="E9" s="12" t="str">
        <x:v>PostgreSQL / docs</x:v>
      </x:c>
      <x:c r="F9" s="12" t="str">
        <x:v>Probar ISBN duplicado, stock/precio negativo, FK inexistente, eliminación restringida, segundo admin y segunda portada.</x:v>
      </x:c>
      <x:c r="G9" s="12" t="str">
        <x:v>Guardar sentencia, esperado y error real.</x:v>
      </x:c>
    </x:row>
    <x:row r="10" ht="72" customHeight="1">
      <x:c r="A10" s="12" t="str">
        <x:v>P1-04</x:v>
      </x:c>
      <x:c r="B10" s="12" t="str">
        <x:v>Media</x:v>
      </x:c>
      <x:c r="C10" s="12" t="str">
        <x:v>Corregir borrado físico de imágenes al eliminar libro</x:v>
      </x:c>
      <x:c r="D10" s="12" t="str">
        <x:v>RF-08</x:v>
      </x:c>
      <x:c r="E10" s="12" t="str">
        <x:v>libro.controller.js / asociaciones.model.js</x:v>
      </x:c>
      <x:c r="F10" s="12" t="str">
        <x:v>Eliminar archivos asociados antes/después del DELETE con manejo transaccional razonable.</x:v>
      </x:c>
      <x:c r="G10" s="12" t="str">
        <x:v>No quedan archivos huérfanos al borrar libro.</x:v>
      </x:c>
    </x:row>
    <x:row r="11" ht="72" customHeight="1">
      <x:c r="A11" s="12" t="str">
        <x:v>P2-01</x:v>
      </x:c>
      <x:c r="B11" s="12" t="str">
        <x:v>Media</x:v>
      </x:c>
      <x:c r="C11" s="12" t="str">
        <x:v>Endurecer sesión para producción</x:v>
      </x:c>
      <x:c r="D11" s="12" t="str">
        <x:v>RNF-13</x:v>
      </x:c>
      <x:c r="E11" s="12" t="str">
        <x:v>src/app.js</x:v>
      </x:c>
      <x:c r="F11" s="12" t="str">
        <x:v>SESSION_SECRET obligatorio; revisar cookie secure/sameSite y trust proxy en despliegue.</x:v>
      </x:c>
      <x:c r="G11" s="12" t="str">
        <x:v>Login/logout funcionan detrás del proxy.</x:v>
      </x:c>
    </x:row>
    <x:row r="12" ht="72" customHeight="1">
      <x:c r="A12" s="12" t="str">
        <x:v>P2-02</x:v>
      </x:c>
      <x:c r="B12" s="12" t="str">
        <x:v>Media</x:v>
      </x:c>
      <x:c r="C12" s="12" t="str">
        <x:v>Preparar localhost + /library + reverse proxy</x:v>
      </x:c>
      <x:c r="D12" s="12" t="str">
        <x:v>RNF-16, RA-14, RA-15</x:v>
      </x:c>
      <x:c r="E12" s="12" t="str">
        <x:v>src/server.js; app.js; views; Apache/NGINX</x:v>
      </x:c>
      <x:c r="F12" s="12" t="str">
        <x:v>Bind 127.0.0.1 y hacer que rutas/estáticos funcionen bajo /library.</x:v>
      </x:c>
      <x:c r="G12" s="12" t="str">
        <x:v>Prueba externa completa bajo /library.</x:v>
      </x:c>
    </x:row>
    <x:row r="13" ht="72" customHeight="1">
      <x:c r="A13" s="12" t="str">
        <x:v>P2-03</x:v>
      </x:c>
      <x:c r="B13" s="12" t="str">
        <x:v>Media</x:v>
      </x:c>
      <x:c r="C13" s="12" t="str">
        <x:v>Seguridad y plan de pruebas</x:v>
      </x:c>
      <x:c r="D13" s="12" t="str">
        <x:v>D-14, D-15</x:v>
      </x:c>
      <x:c r="E13" s="12" t="str">
        <x:v>docs/</x:v>
      </x:c>
      <x:c r="F13" s="12" t="str">
        <x:v>Crear SECURITY_REVIEW y matriz de mínimo 15 pruebas usando IDs RF/RNF.</x:v>
      </x:c>
      <x:c r="G13" s="12" t="str">
        <x:v>Evidencias reproducibles y estado de cada caso.</x:v>
      </x:c>
    </x:row>
    <x:row r="14" ht="72" customHeight="1">
      <x:c r="A14" s="12" t="str">
        <x:v>P2-04</x:v>
      </x:c>
      <x:c r="B14" s="12" t="str">
        <x:v>Media</x:v>
      </x:c>
      <x:c r="C14" s="12" t="str">
        <x:v>Trazabilidad de IA</x:v>
      </x:c>
      <x:c r="D14" s="12" t="str">
        <x:v>D-16</x:v>
      </x:c>
      <x:c r="E14" s="12" t="str">
        <x:v>docs/ o raíz según instrucción</x:v>
      </x:c>
      <x:c r="F14" s="12" t="str">
        <x:v>Registrar prompts exactos, archivos modificados, riesgos, pruebas y resultados.</x:v>
      </x:c>
      <x:c r="G14" s="12" t="str">
        <x:v>AI_PROMPT_HISTORY y AI_CHANGELOG actualizados.</x:v>
      </x:c>
    </x:row>
  </x:sheetData>
  <x:conditionalFormatting sqref="B2:B14">
    <x:cfRule type="expression" dxfId="12" priority="1">
      <x:formula>B2="Alta"</x:formula>
    </x:cfRule>
    <x:cfRule type="expression" dxfId="13" priority="2">
      <x:formula>B2="Media"</x:formula>
    </x:cfRule>
    <x:cfRule type="expression" dxfId="14" priority="3">
      <x:formula>B2="Baja"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2ebf3af0c64b60"/>
  </x:tableParts>
</x:worksheet>
</file>